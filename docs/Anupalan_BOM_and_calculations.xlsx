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Prototype BOM" sheetId="1" state="visible" r:id="rId1"/>
    <sheet name="2 Unit cost per order" sheetId="2" state="visible" r:id="rId2"/>
    <sheet name="3 State deployment (yr)" sheetId="3" state="visible" r:id="rId3"/>
    <sheet name="4 Calculations" sheetId="4" state="visible" r:id="rId4"/>
    <sheet name="5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2" customWidth="1" min="3" max="3"/>
    <col width="26" customWidth="1" min="4" max="4"/>
    <col width="12" customWidth="1" min="5" max="5"/>
    <col width="14" customWidth="1" min="6" max="6"/>
    <col width="52" customWidth="1" min="7" max="7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Type</t>
        </is>
      </c>
      <c r="D1" s="1" t="inlineStr">
        <is>
          <t>Qty / basis</t>
        </is>
      </c>
      <c r="E1" s="1" t="inlineStr">
        <is>
          <t>Cost (INR)</t>
        </is>
      </c>
      <c r="F1" s="1" t="inlineStr">
        <is>
          <t>Status</t>
        </is>
      </c>
      <c r="G1" s="1" t="inlineStr">
        <is>
          <t>Note / source</t>
        </is>
      </c>
    </row>
    <row r="2">
      <c r="A2" s="2" t="n">
        <v>1</v>
      </c>
      <c r="B2" s="2" t="inlineStr">
        <is>
          <t>Developer laptop (existing)</t>
        </is>
      </c>
      <c r="C2" s="2" t="inlineStr">
        <is>
          <t>Hardware</t>
        </is>
      </c>
      <c r="D2" s="2" t="inlineStr">
        <is>
          <t>1</t>
        </is>
      </c>
      <c r="E2" s="2" t="n">
        <v>0</v>
      </c>
      <c r="F2" s="2" t="inlineStr">
        <is>
          <t>Owned</t>
        </is>
      </c>
      <c r="G2" s="2" t="inlineStr">
        <is>
          <t>No hardware needs to be bought</t>
        </is>
      </c>
    </row>
    <row r="3">
      <c r="A3" s="2" t="n">
        <v>2</v>
      </c>
      <c r="B3" s="2" t="inlineStr">
        <is>
          <t>Open court data: Indian High Court Judgments (AWS Open Data)</t>
        </is>
      </c>
      <c r="C3" s="2" t="inlineStr">
        <is>
          <t>Data</t>
        </is>
      </c>
      <c r="D3" s="2" t="inlineStr">
        <is>
          <t>~2,500 order PDFs + metadata</t>
        </is>
      </c>
      <c r="E3" s="2" t="n">
        <v>0</v>
      </c>
      <c r="F3" s="2" t="inlineStr">
        <is>
          <t>Used</t>
        </is>
      </c>
      <c r="G3" s="2" t="inlineStr">
        <is>
          <t>CC-BY-4.0; no account needed</t>
        </is>
      </c>
    </row>
    <row r="4">
      <c r="A4" s="2" t="n">
        <v>3</v>
      </c>
      <c r="B4" s="2" t="inlineStr">
        <is>
          <t>Python, FastAPI, SQLite, Poppler, Tesseract OCR</t>
        </is>
      </c>
      <c r="C4" s="2" t="inlineStr">
        <is>
          <t>Software</t>
        </is>
      </c>
      <c r="D4" s="2" t="inlineStr">
        <is>
          <t>Open source</t>
        </is>
      </c>
      <c r="E4" s="2" t="n">
        <v>0</v>
      </c>
      <c r="F4" s="2" t="inlineStr">
        <is>
          <t>Used</t>
        </is>
      </c>
      <c r="G4" s="2" t="inlineStr">
        <is>
          <t>No licence cost</t>
        </is>
      </c>
    </row>
    <row r="5">
      <c r="A5" s="2" t="n">
        <v>4</v>
      </c>
      <c r="B5" s="2" t="inlineStr">
        <is>
          <t>Claude API (Haiku 4.5) for development + evaluation</t>
        </is>
      </c>
      <c r="C5" s="2" t="inlineStr">
        <is>
          <t>AI usage</t>
        </is>
      </c>
      <c r="D5" s="2" t="inlineStr">
        <is>
          <t>~1,500 order runs so far</t>
        </is>
      </c>
      <c r="E5" s="2" t="n">
        <v>500</v>
      </c>
      <c r="F5" s="2" t="inlineStr">
        <is>
          <t>Spent (approx.)</t>
        </is>
      </c>
      <c r="G5" s="2" t="inlineStr">
        <is>
          <t>Measured ~1350+260 tokens/order at $1/$5 per M tokens</t>
        </is>
      </c>
    </row>
    <row r="6">
      <c r="A6" s="2" t="n">
        <v>5</v>
      </c>
      <c r="B6" s="2" t="inlineStr">
        <is>
          <t>Claude API budget: full evaluation, re-runs, live demo</t>
        </is>
      </c>
      <c r="C6" s="2" t="inlineStr">
        <is>
          <t>AI usage</t>
        </is>
      </c>
      <c r="D6" s="2" t="inlineStr">
        <is>
          <t>~10,000 order runs</t>
        </is>
      </c>
      <c r="E6" s="2" t="n">
        <v>2549</v>
      </c>
      <c r="F6" s="2" t="inlineStr">
        <is>
          <t>Budgeted</t>
        </is>
      </c>
      <c r="G6" s="2" t="inlineStr">
        <is>
          <t>Estimate</t>
        </is>
      </c>
    </row>
    <row r="7">
      <c r="A7" s="2" t="n">
        <v>6</v>
      </c>
      <c r="B7" s="2" t="inlineStr">
        <is>
          <t>Cloud VM for live API demo (2 vCPU, 4 GB) for 3 months</t>
        </is>
      </c>
      <c r="C7" s="2" t="inlineStr">
        <is>
          <t>Hosting</t>
        </is>
      </c>
      <c r="D7" s="2" t="inlineStr">
        <is>
          <t>3 months</t>
        </is>
      </c>
      <c r="E7" s="2" t="n">
        <v>6000</v>
      </c>
      <c r="F7" s="2" t="inlineStr">
        <is>
          <t>Budgeted</t>
        </is>
      </c>
      <c r="G7" s="2" t="inlineStr">
        <is>
          <t>Estimate; static demo on GitHub Pages is free</t>
        </is>
      </c>
    </row>
    <row r="8">
      <c r="A8" s="2" t="n">
        <v>7</v>
      </c>
      <c r="B8" s="2" t="inlineStr">
        <is>
          <t>Domain name</t>
        </is>
      </c>
      <c r="C8" s="2" t="inlineStr">
        <is>
          <t>Hosting</t>
        </is>
      </c>
      <c r="D8" s="2" t="inlineStr">
        <is>
          <t>1 year</t>
        </is>
      </c>
      <c r="E8" s="2" t="n">
        <v>1000</v>
      </c>
      <c r="F8" s="2" t="inlineStr">
        <is>
          <t>Budgeted</t>
        </is>
      </c>
      <c r="G8" s="2" t="inlineStr">
        <is>
          <t>Estimate</t>
        </is>
      </c>
    </row>
    <row r="9">
      <c r="A9" s="2" t="n">
        <v>8</v>
      </c>
      <c r="B9" s="2" t="inlineStr">
        <is>
          <t>Honorarium: blind review by a practising lawyer / legal-cell officer</t>
        </is>
      </c>
      <c r="C9" s="2" t="inlineStr">
        <is>
          <t>Validation</t>
        </is>
      </c>
      <c r="D9" s="2" t="inlineStr">
        <is>
          <t>30-50 obligations</t>
        </is>
      </c>
      <c r="E9" s="2" t="n">
        <v>10000</v>
      </c>
      <c r="F9" s="2" t="inlineStr">
        <is>
          <t>Budgeted</t>
        </is>
      </c>
      <c r="G9" s="2" t="inlineStr">
        <is>
          <t>Estimate</t>
        </is>
      </c>
    </row>
    <row r="10">
      <c r="A10" s="2" t="n">
        <v>9</v>
      </c>
      <c r="B10" s="2" t="inlineStr">
        <is>
          <t>Video recording / editing</t>
        </is>
      </c>
      <c r="C10" s="2" t="inlineStr">
        <is>
          <t>Pitch</t>
        </is>
      </c>
      <c r="D10" s="2" t="inlineStr">
        <is>
          <t>-</t>
        </is>
      </c>
      <c r="E10" s="2" t="n">
        <v>0</v>
      </c>
      <c r="F10" s="2" t="inlineStr">
        <is>
          <t>-</t>
        </is>
      </c>
      <c r="G10" s="2" t="inlineStr">
        <is>
          <t>Free tools</t>
        </is>
      </c>
    </row>
    <row r="11">
      <c r="A11" s="2" t="inlineStr"/>
      <c r="B11" s="3" t="inlineStr">
        <is>
          <t>TOTAL prototype</t>
        </is>
      </c>
      <c r="C11" s="2" t="inlineStr"/>
      <c r="D11" s="2" t="inlineStr"/>
      <c r="E11" s="3">
        <f>SUM(E2:E10)</f>
        <v/>
      </c>
      <c r="F11" s="2" t="inlineStr"/>
      <c r="G11" s="2" t="inlineStr">
        <is>
          <t>Software-only; no hardware BOM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2" customWidth="1" min="3" max="3"/>
    <col width="52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Basis</t>
        </is>
      </c>
    </row>
    <row r="2">
      <c r="A2" s="2" t="inlineStr">
        <is>
          <t>Input tokens per order (measured mean)</t>
        </is>
      </c>
      <c r="B2" s="2" t="n">
        <v>1350</v>
      </c>
      <c r="C2" s="2" t="inlineStr">
        <is>
          <t>tokens</t>
        </is>
      </c>
      <c r="D2" s="2" t="inlineStr">
        <is>
          <t>293 backtest + 400 forward-run orders</t>
        </is>
      </c>
    </row>
    <row r="3">
      <c r="A3" s="2" t="inlineStr">
        <is>
          <t>Output tokens per order (measured mean)</t>
        </is>
      </c>
      <c r="B3" s="2" t="n">
        <v>260</v>
      </c>
      <c r="C3" s="2" t="inlineStr">
        <is>
          <t>tokens</t>
        </is>
      </c>
      <c r="D3" s="2" t="inlineStr">
        <is>
          <t>same</t>
        </is>
      </c>
    </row>
    <row r="4">
      <c r="A4" s="2" t="inlineStr">
        <is>
          <t>Price: input (Claude Haiku 4.5)</t>
        </is>
      </c>
      <c r="B4" s="2" t="n">
        <v>1</v>
      </c>
      <c r="C4" s="2" t="inlineStr">
        <is>
          <t>USD / million tokens</t>
        </is>
      </c>
      <c r="D4" s="2" t="inlineStr">
        <is>
          <t>platform.claude.com/docs/en/about-claude/pricing</t>
        </is>
      </c>
    </row>
    <row r="5">
      <c r="A5" s="2" t="inlineStr">
        <is>
          <t>Price: output (Claude Haiku 4.5)</t>
        </is>
      </c>
      <c r="B5" s="2" t="n">
        <v>5</v>
      </c>
      <c r="C5" s="2" t="inlineStr">
        <is>
          <t>USD / million tokens</t>
        </is>
      </c>
      <c r="D5" s="2" t="inlineStr">
        <is>
          <t>same</t>
        </is>
      </c>
    </row>
    <row r="6">
      <c r="A6" s="2" t="inlineStr">
        <is>
          <t>AI cost per order</t>
        </is>
      </c>
      <c r="B6" s="2">
        <f>B2/1e6*B4+B3/1e6*B5</f>
        <v/>
      </c>
      <c r="C6" s="2" t="inlineStr">
        <is>
          <t>USD</t>
        </is>
      </c>
      <c r="D6" s="2" t="inlineStr">
        <is>
          <t>formula</t>
        </is>
      </c>
    </row>
    <row r="7">
      <c r="A7" s="2" t="inlineStr">
        <is>
          <t>INR per USD</t>
        </is>
      </c>
      <c r="B7" s="2" t="n">
        <v>96.2</v>
      </c>
      <c r="C7" s="2" t="inlineStr">
        <is>
          <t>INR</t>
        </is>
      </c>
      <c r="D7" s="2" t="inlineStr">
        <is>
          <t>market rate, early Oct 2026</t>
        </is>
      </c>
    </row>
    <row r="8">
      <c r="A8" s="2" t="inlineStr">
        <is>
          <t>AI cost per order</t>
        </is>
      </c>
      <c r="B8" s="2">
        <f>B6*B7</f>
        <v/>
      </c>
      <c r="C8" s="2" t="inlineStr">
        <is>
          <t>INR</t>
        </is>
      </c>
      <c r="D8" s="2" t="inlineStr">
        <is>
          <t>formula</t>
        </is>
      </c>
    </row>
    <row r="9">
      <c r="A9" s="2" t="inlineStr">
        <is>
          <t>AI cost per order with Batch API (50% off)</t>
        </is>
      </c>
      <c r="B9" s="2">
        <f>B8/2</f>
        <v/>
      </c>
      <c r="C9" s="2" t="inlineStr">
        <is>
          <t>INR</t>
        </is>
      </c>
      <c r="D9" s="2" t="inlineStr">
        <is>
          <t>Batch API discount 50%</t>
        </is>
      </c>
    </row>
    <row r="10">
      <c r="A10" s="2" t="inlineStr">
        <is>
          <t>OCR + text extraction</t>
        </is>
      </c>
      <c r="B10" s="2" t="n">
        <v>0</v>
      </c>
      <c r="C10" s="2" t="inlineStr">
        <is>
          <t>INR</t>
        </is>
      </c>
      <c r="D10" s="2" t="inlineStr">
        <is>
          <t>Open source, runs on the same server</t>
        </is>
      </c>
    </row>
    <row r="11">
      <c r="A11" s="2" t="inlineStr">
        <is>
          <t>Processing time per order (measured)</t>
        </is>
      </c>
      <c r="B11" s="2" t="n">
        <v>3</v>
      </c>
      <c r="C11" s="2" t="inlineStr">
        <is>
          <t>seconds</t>
        </is>
      </c>
      <c r="D11" s="2" t="inlineStr">
        <is>
          <t>upload → obligations, live API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6" customWidth="1" min="3" max="3"/>
    <col width="18" customWidth="1" min="4" max="4"/>
    <col width="58" customWidth="1" min="5" max="5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 cost (INR)</t>
        </is>
      </c>
      <c r="D1" s="1" t="inlineStr">
        <is>
          <t>Annual cost (INR)</t>
        </is>
      </c>
      <c r="E1" s="1" t="inlineStr">
        <is>
          <t>Basis</t>
        </is>
      </c>
    </row>
    <row r="2">
      <c r="A2" s="2" t="inlineStr">
        <is>
          <t>AI processing of all orders with a government party (P&amp;H HC, 2025 volume)</t>
        </is>
      </c>
      <c r="B2" s="2" t="n">
        <v>93749</v>
      </c>
      <c r="C2" s="2" t="n">
        <v>0.25</v>
      </c>
      <c r="D2" s="2">
        <f>B2*C2</f>
        <v/>
      </c>
      <c r="E2" s="2" t="inlineStr">
        <is>
          <t>93,749 orders in 2025 open data with State/UT/Union in title</t>
        </is>
      </c>
    </row>
    <row r="3">
      <c r="A3" s="2" t="inlineStr">
        <is>
          <t>Hosting: 2 app servers + managed database + backups (NIC/MeghRaj or empanelled cloud)</t>
        </is>
      </c>
      <c r="B3" s="2" t="n">
        <v>1</v>
      </c>
      <c r="C3" s="2" t="n">
        <v>350000</v>
      </c>
      <c r="D3" s="2">
        <f>B3*C3</f>
        <v/>
      </c>
      <c r="E3" s="2" t="inlineStr">
        <is>
          <t>Estimate</t>
        </is>
      </c>
    </row>
    <row r="4">
      <c r="A4" s="2" t="inlineStr">
        <is>
          <t>Alerts: SMS/WhatsApp/email (≈66,000 tasks × 5 alerts)</t>
        </is>
      </c>
      <c r="B4" s="2" t="n">
        <v>330000</v>
      </c>
      <c r="C4" s="2" t="n">
        <v>0.25</v>
      </c>
      <c r="D4" s="2">
        <f>B4*C4</f>
        <v/>
      </c>
      <c r="E4" s="2" t="inlineStr">
        <is>
          <t>Estimate; per-message rate varies</t>
        </is>
      </c>
    </row>
    <row r="5">
      <c r="A5" s="2" t="inlineStr">
        <is>
          <t>Security audit (CERT-In empanelled), amortised</t>
        </is>
      </c>
      <c r="B5" s="2" t="n">
        <v>1</v>
      </c>
      <c r="C5" s="2" t="n">
        <v>150000</v>
      </c>
      <c r="D5" s="2">
        <f>B5*C5</f>
        <v/>
      </c>
      <c r="E5" s="2" t="inlineStr">
        <is>
          <t>Estimate, one-time ≈ 1.5 lakh</t>
        </is>
      </c>
    </row>
    <row r="6">
      <c r="A6" s="2" t="inlineStr">
        <is>
          <t>Support and maintenance (part-time engineer)</t>
        </is>
      </c>
      <c r="B6" s="2" t="n">
        <v>1</v>
      </c>
      <c r="C6" s="2" t="n">
        <v>500000</v>
      </c>
      <c r="D6" s="2">
        <f>B6*C6</f>
        <v/>
      </c>
      <c r="E6" s="2" t="inlineStr">
        <is>
          <t>Estimate</t>
        </is>
      </c>
    </row>
    <row r="7">
      <c r="A7" s="2" t="inlineStr">
        <is>
          <t>Training of legal-cell nodal officers</t>
        </is>
      </c>
      <c r="B7" s="2" t="n">
        <v>1</v>
      </c>
      <c r="C7" s="2" t="n">
        <v>100000</v>
      </c>
      <c r="D7" s="2">
        <f>B7*C7</f>
        <v/>
      </c>
      <c r="E7" s="2" t="inlineStr">
        <is>
          <t>Estimate</t>
        </is>
      </c>
    </row>
    <row r="8">
      <c r="A8" s="2" t="inlineStr">
        <is>
          <t>TOTAL per state / year</t>
        </is>
      </c>
      <c r="B8" s="2" t="inlineStr"/>
      <c r="C8" s="2" t="inlineStr"/>
      <c r="D8" s="2">
        <f>SUM(D2:D7)</f>
        <v/>
      </c>
      <c r="E8" s="2" t="inlineStr"/>
    </row>
    <row r="9">
      <c r="A9" s="2" t="inlineStr">
        <is>
          <t>Estimated court-ordered tasks tracked per year</t>
        </is>
      </c>
      <c r="B9" s="2" t="n">
        <v>66000</v>
      </c>
      <c r="C9" s="2" t="inlineStr"/>
      <c r="D9" s="2" t="inlineStr"/>
      <c r="E9" s="2" t="inlineStr">
        <is>
          <t>62,009 final govt-party orders × 64% with a direction × 1.67 per order (sample-based estimate)</t>
        </is>
      </c>
    </row>
    <row r="10">
      <c r="A10" s="2" t="inlineStr">
        <is>
          <t>Cost per tracked task</t>
        </is>
      </c>
      <c r="B10" s="2" t="inlineStr"/>
      <c r="C10" s="2" t="inlineStr"/>
      <c r="D10" s="2">
        <f>D8/B9</f>
        <v/>
      </c>
      <c r="E10" s="2" t="inlineStr">
        <is>
          <t>formula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62" customWidth="1" min="2" max="2"/>
    <col width="48" customWidth="1" min="3" max="3"/>
  </cols>
  <sheetData>
    <row r="1">
      <c r="A1" s="1" t="inlineStr">
        <is>
          <t>Calculation</t>
        </is>
      </c>
      <c r="B1" s="1" t="inlineStr">
        <is>
          <t>Working</t>
        </is>
      </c>
      <c r="C1" s="1" t="inlineStr">
        <is>
          <t>Result</t>
        </is>
      </c>
    </row>
    <row r="2">
      <c r="A2" s="2" t="inlineStr">
        <is>
          <t>Daily load (one High Court)</t>
        </is>
      </c>
      <c r="B2" s="2" t="inlineStr">
        <is>
          <t>93,749 govt-party orders ÷ ~240 working days</t>
        </is>
      </c>
      <c r="C2" s="2" t="inlineStr">
        <is>
          <t>≈ 390 orders/day</t>
        </is>
      </c>
    </row>
    <row r="3">
      <c r="A3" s="2" t="inlineStr">
        <is>
          <t>Compute time per day</t>
        </is>
      </c>
      <c r="B3" s="2" t="inlineStr">
        <is>
          <t>390 orders × 3 s (sequential)</t>
        </is>
      </c>
      <c r="C3" s="2" t="inlineStr">
        <is>
          <t>≈ 20 minutes/day on one small server</t>
        </is>
      </c>
    </row>
    <row r="4">
      <c r="A4" s="2" t="inlineStr">
        <is>
          <t>Peak throughput</t>
        </is>
      </c>
      <c r="B4" s="2" t="inlineStr">
        <is>
          <t>8 parallel workers × 1 order / 3 s</t>
        </is>
      </c>
      <c r="C4" s="2" t="inlineStr">
        <is>
          <t>≈ 9,600 orders/hour</t>
        </is>
      </c>
    </row>
    <row r="5">
      <c r="A5" s="2" t="inlineStr">
        <is>
          <t>Annual AI cost, one High Court</t>
        </is>
      </c>
      <c r="B5" s="2" t="inlineStr">
        <is>
          <t>93,749 × ₹0.25</t>
        </is>
      </c>
      <c r="C5" s="2" t="inlineStr">
        <is>
          <t>≈ ₹23,899 (≈ ₹11,950 with Batch API)</t>
        </is>
      </c>
    </row>
    <row r="6">
      <c r="A6" s="2" t="inlineStr">
        <is>
          <t>Backtest coverage</t>
        </is>
      </c>
      <c r="B6" s="2" t="inlineStr">
        <is>
          <t>265 of 293 original orders behind real contempt cases</t>
        </is>
      </c>
      <c r="C6" s="2" t="inlineStr">
        <is>
          <t>90% captured</t>
        </is>
      </c>
    </row>
    <row r="7">
      <c r="A7" s="2" t="inlineStr">
        <is>
          <t>Backtest warning window</t>
        </is>
      </c>
      <c r="B7" s="2" t="inlineStr">
        <is>
          <t>median (contempt filed − computed deadline), 185 dated cases</t>
        </is>
      </c>
      <c r="C7" s="2" t="inlineStr">
        <is>
          <t>89 days</t>
        </is>
      </c>
    </row>
    <row r="8">
      <c r="A8" s="2" t="inlineStr">
        <is>
          <t>Storage</t>
        </is>
      </c>
      <c r="B8" s="2" t="inlineStr">
        <is>
          <t>Text + extractions ≈ 10 KB/order × 93,749</t>
        </is>
      </c>
      <c r="C8" s="2" t="inlineStr">
        <is>
          <t>≈ 1 GB/year (PDFs optional, stay with the court)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What</t>
        </is>
      </c>
      <c r="B1" s="1" t="inlineStr">
        <is>
          <t>Source</t>
        </is>
      </c>
    </row>
    <row r="2">
      <c r="A2" s="2" t="inlineStr">
        <is>
          <t>Court orders, metadata</t>
        </is>
      </c>
      <c r="B2" s="2" t="inlineStr">
        <is>
          <t>https://registry.opendata.aws/indian-high-court-judgments/ (CC-BY-4.0)</t>
        </is>
      </c>
    </row>
    <row r="3">
      <c r="A3" s="2" t="inlineStr">
        <is>
          <t>Claude Haiku 4.5 prices, Batch API discount</t>
        </is>
      </c>
      <c r="B3" s="2" t="inlineStr">
        <is>
          <t>https://platform.claude.com/docs/en/about-claude/pricing</t>
        </is>
      </c>
    </row>
    <row r="4">
      <c r="A4" s="2" t="inlineStr">
        <is>
          <t>USD/INR ≈ 96.2 (early Oct 2026)</t>
        </is>
      </c>
      <c r="B4" s="2" t="inlineStr">
        <is>
          <t>https://tradingeconomics.com/india/currency</t>
        </is>
      </c>
    </row>
    <row r="5">
      <c r="A5" s="2" t="inlineStr">
        <is>
          <t>Measured tokens, timings, backtest</t>
        </is>
      </c>
      <c r="B5" s="2" t="inlineStr">
        <is>
          <t>This repository: data/backtest/summary.json, docs/EVALUATION.md</t>
        </is>
      </c>
    </row>
    <row r="6">
      <c r="A6" s="2" t="inlineStr">
        <is>
          <t>All rows marked 'Estimate'</t>
        </is>
      </c>
      <c r="B6" s="2" t="inlineStr">
        <is>
          <t>Team estimates, to be validated in a 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2026-10-05T06:13:53Z</dcterms:created>
  <dcterms:modified xsi:type="dcterms:W3CDTF">2026-10-05T06:13:53Z</dcterms:modified>
</cp:coreProperties>
</file>